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elles_Oslo\Varemottak\MALER_EMMA\Database\"/>
    </mc:Choice>
  </mc:AlternateContent>
  <xr:revisionPtr revIDLastSave="0" documentId="13_ncr:1_{45467736-ABE8-4A8C-827E-5EE6D14926BC}" xr6:coauthVersionLast="47" xr6:coauthVersionMax="47" xr10:uidLastSave="{00000000-0000-0000-0000-000000000000}"/>
  <bookViews>
    <workbookView xWindow="4455" yWindow="4455" windowWidth="28800" windowHeight="15435" xr2:uid="{56A18B0D-7602-4537-93EE-D7B1AD6CDEF1}"/>
  </bookViews>
  <sheets>
    <sheet name="Firmadata" sheetId="1" r:id="rId1"/>
  </sheets>
  <externalReferences>
    <externalReference r:id="rId2"/>
  </externalReferences>
  <definedNames>
    <definedName name="MRNTYPE">[1]Dashboard!$N$2</definedName>
    <definedName name="TabellFirmadata">Firmadata!$A$8:$N$24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4" i="1" l="1"/>
  <c r="M13" i="1"/>
  <c r="M12" i="1"/>
  <c r="M11" i="1"/>
  <c r="M10" i="1"/>
  <c r="M8" i="1"/>
</calcChain>
</file>

<file path=xl/sharedStrings.xml><?xml version="1.0" encoding="utf-8"?>
<sst xmlns="http://schemas.openxmlformats.org/spreadsheetml/2006/main" count="283" uniqueCount="153">
  <si>
    <t>Søk = søker opp firmanavn i hele kolonne B // Ertall forteller om #verdi ///filtrer filtrerer</t>
  </si>
  <si>
    <t>FIRMADATABASE</t>
  </si>
  <si>
    <t>FILTRER(B8:B24;ERTALL(SØK(Dashboard!B2;B8:B24));"Ukjent")</t>
  </si>
  <si>
    <t>Kode = 1 UTL</t>
  </si>
  <si>
    <t>Kode = 2 NO</t>
  </si>
  <si>
    <t>Linjenr</t>
  </si>
  <si>
    <t>Firmanavn</t>
  </si>
  <si>
    <t>Adresse</t>
  </si>
  <si>
    <t>Postkode</t>
  </si>
  <si>
    <t>Poststed</t>
  </si>
  <si>
    <t>Land</t>
  </si>
  <si>
    <t>AutNo</t>
  </si>
  <si>
    <t>Priskode</t>
  </si>
  <si>
    <t>Kundenummer</t>
  </si>
  <si>
    <t>Valutakode</t>
  </si>
  <si>
    <t>Merknad</t>
  </si>
  <si>
    <t>Incoterm</t>
  </si>
  <si>
    <t>Incosted</t>
  </si>
  <si>
    <t>Kode</t>
  </si>
  <si>
    <t>Elbers GmbH &amp; Co. KG</t>
  </si>
  <si>
    <t xml:space="preserve">Ottersweg 6 </t>
  </si>
  <si>
    <t>Kevelaer</t>
  </si>
  <si>
    <t>DE</t>
  </si>
  <si>
    <t>DE/2650/EA/0184</t>
  </si>
  <si>
    <t>EUR</t>
  </si>
  <si>
    <t>Notat</t>
  </si>
  <si>
    <t>FCA</t>
  </si>
  <si>
    <t>Flora Holland B.V.</t>
  </si>
  <si>
    <t>Middel Broekweg</t>
  </si>
  <si>
    <t>2675 KB</t>
  </si>
  <si>
    <t>Honselersdijk</t>
  </si>
  <si>
    <t>NL</t>
  </si>
  <si>
    <t>NL/074/14/4030</t>
  </si>
  <si>
    <t>Schiphol</t>
  </si>
  <si>
    <t>Flora Nordic B.V.</t>
  </si>
  <si>
    <t xml:space="preserve">Sierteeltstraat 25 </t>
  </si>
  <si>
    <t>1431 GM</t>
  </si>
  <si>
    <t>Aalsmeer</t>
  </si>
  <si>
    <t>NL/108/09/2444</t>
  </si>
  <si>
    <t>Hoek Flowers B.V.</t>
  </si>
  <si>
    <t>Laan van verhof 77</t>
  </si>
  <si>
    <t>2231 DZ</t>
  </si>
  <si>
    <t>Rijnsburg</t>
  </si>
  <si>
    <t>NL/074/19/5310</t>
  </si>
  <si>
    <t>Marktverband Bremen GmbH</t>
  </si>
  <si>
    <t xml:space="preserve">Paul-Feller-Str. 24 </t>
  </si>
  <si>
    <t>Bremen</t>
  </si>
  <si>
    <t xml:space="preserve">DE/2300/EA/0066 </t>
  </si>
  <si>
    <t xml:space="preserve">Noviflora Holland B.V. </t>
  </si>
  <si>
    <t xml:space="preserve">Venus 240 </t>
  </si>
  <si>
    <t xml:space="preserve">2675 LN </t>
  </si>
  <si>
    <t>NL/333/01/188</t>
  </si>
  <si>
    <t>Plantas A/S</t>
  </si>
  <si>
    <t>Grydhøjparken 12</t>
  </si>
  <si>
    <t>Tilst</t>
  </si>
  <si>
    <t>DK</t>
  </si>
  <si>
    <t>DK/06/159888</t>
  </si>
  <si>
    <t>DKK</t>
  </si>
  <si>
    <t>Slikweid B.V.</t>
  </si>
  <si>
    <t>Dorpsstraat 13</t>
  </si>
  <si>
    <t>1921 BA</t>
  </si>
  <si>
    <t>Akersloot</t>
  </si>
  <si>
    <t>KEREXNBIP5280</t>
  </si>
  <si>
    <t>Blomsterringen avd. Bergen</t>
  </si>
  <si>
    <t>Liavegen 10</t>
  </si>
  <si>
    <t>Nyborg</t>
  </si>
  <si>
    <t>NO</t>
  </si>
  <si>
    <t>C</t>
  </si>
  <si>
    <t>Blomsterringen avd. Oslo</t>
  </si>
  <si>
    <t>Sanitetsveien 15</t>
  </si>
  <si>
    <t>Skjetten</t>
  </si>
  <si>
    <t>A</t>
  </si>
  <si>
    <t>Blomsterringen avd. Rogaland</t>
  </si>
  <si>
    <t>Koppholen 13</t>
  </si>
  <si>
    <t>Sandnes</t>
  </si>
  <si>
    <t>B</t>
  </si>
  <si>
    <t>Blomsterringen avd. Vestfold</t>
  </si>
  <si>
    <t>Borgeskogen</t>
  </si>
  <si>
    <t>Stokke</t>
  </si>
  <si>
    <t>Blomsterringen avd. Trondheim</t>
  </si>
  <si>
    <t>Østre Rosten 100</t>
  </si>
  <si>
    <t>Tiller</t>
  </si>
  <si>
    <t>D</t>
  </si>
  <si>
    <t>Blomsterringen avd. Nordvest</t>
  </si>
  <si>
    <t>Plutoveien 1</t>
  </si>
  <si>
    <t>Molde</t>
  </si>
  <si>
    <t>F</t>
  </si>
  <si>
    <t>Blomsterringen avd. Nord-Norge</t>
  </si>
  <si>
    <t>Tromsø</t>
  </si>
  <si>
    <t>G</t>
  </si>
  <si>
    <t>Blomsterringen avd. 4</t>
  </si>
  <si>
    <t>H</t>
  </si>
  <si>
    <t>Ambius</t>
  </si>
  <si>
    <t>E</t>
  </si>
  <si>
    <t>EU</t>
  </si>
  <si>
    <t>Gediflora</t>
  </si>
  <si>
    <t xml:space="preserve">Hishtil Afula </t>
  </si>
  <si>
    <t>M.Koppe B.V</t>
  </si>
  <si>
    <t>Flower Hub Limited</t>
  </si>
  <si>
    <t>Nieuwkoop</t>
  </si>
  <si>
    <t>Dymak A/S</t>
  </si>
  <si>
    <t>Danziger "Dan" Flower Farm</t>
  </si>
  <si>
    <t>Danziger (Beauty Line Ltd)</t>
  </si>
  <si>
    <t>Steenbek (DK)</t>
  </si>
  <si>
    <t>Steenbek (UG)</t>
  </si>
  <si>
    <t>Steenbek (ID)</t>
  </si>
  <si>
    <t>Steenbek (Florensis)</t>
  </si>
  <si>
    <t>Syngenta Seeds B.V. (NL)</t>
  </si>
  <si>
    <t>Syngenta Seeds B.V. (KE)</t>
  </si>
  <si>
    <t>Schierveldestraat 14</t>
  </si>
  <si>
    <t>Eilon Tavor Ind. Zone</t>
  </si>
  <si>
    <t>Fazantlaan 10</t>
  </si>
  <si>
    <t>930 High Road</t>
  </si>
  <si>
    <t>Hoofdweg 111</t>
  </si>
  <si>
    <t>Holkebjergsvej 120</t>
  </si>
  <si>
    <t>Po Box 186</t>
  </si>
  <si>
    <t>Korden 15</t>
  </si>
  <si>
    <t>Westeinde 62</t>
  </si>
  <si>
    <t>Westeinde 63</t>
  </si>
  <si>
    <t>3852 AM</t>
  </si>
  <si>
    <t>N12 9RT</t>
  </si>
  <si>
    <t>1424 PE</t>
  </si>
  <si>
    <t>1600 AA</t>
  </si>
  <si>
    <t>1601 AA</t>
  </si>
  <si>
    <t>Oostnieuwkerke</t>
  </si>
  <si>
    <t>Ermelo</t>
  </si>
  <si>
    <t>London</t>
  </si>
  <si>
    <t>De Kwakel</t>
  </si>
  <si>
    <t>Odense SV</t>
  </si>
  <si>
    <t>Mishmar HaShiva</t>
  </si>
  <si>
    <t>Gedved</t>
  </si>
  <si>
    <t>Enkhuizen</t>
  </si>
  <si>
    <t>Belgia</t>
  </si>
  <si>
    <t>Israel</t>
  </si>
  <si>
    <t>Nederland</t>
  </si>
  <si>
    <t>Storbritannia</t>
  </si>
  <si>
    <t>Danmark</t>
  </si>
  <si>
    <t>Kenya</t>
  </si>
  <si>
    <t>Uganda</t>
  </si>
  <si>
    <t>Indonesia</t>
  </si>
  <si>
    <t>Etiophia</t>
  </si>
  <si>
    <t>BE 1015</t>
  </si>
  <si>
    <t>511352718 / K</t>
  </si>
  <si>
    <t>Fakturaerklæring</t>
  </si>
  <si>
    <t>NL/108/06/1944</t>
  </si>
  <si>
    <t>Uten</t>
  </si>
  <si>
    <t>Aut.055732366</t>
  </si>
  <si>
    <t>KEREXNKUF0132016</t>
  </si>
  <si>
    <t>NL/102/01/670</t>
  </si>
  <si>
    <t>KEREXNBIP5038</t>
  </si>
  <si>
    <t>Gasa Group Holland B.V.</t>
  </si>
  <si>
    <t>NL/108/09/2505</t>
  </si>
  <si>
    <t>EXW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</si>
</sst>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66003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F51AE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3" fillId="0" borderId="9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elles_Oslo/Varemottak/MALER_EMMA/EMMAFNP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D"/>
      <sheetName val="F1"/>
      <sheetName val="F2"/>
      <sheetName val="F3"/>
      <sheetName val="F4"/>
      <sheetName val="F5"/>
      <sheetName val="F6"/>
      <sheetName val="F7"/>
      <sheetName val="F8"/>
      <sheetName val="F9"/>
      <sheetName val="F10"/>
      <sheetName val="F11"/>
      <sheetName val="F12"/>
      <sheetName val="INFO"/>
      <sheetName val="BLR"/>
      <sheetName val="FirmaDB"/>
      <sheetName val="EMMA"/>
    </sheetNames>
    <sheetDataSet>
      <sheetData sheetId="0">
        <row r="2">
          <cell r="N2" t="str">
            <v>T2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C641-EA93-409D-BBE5-F9D529386BA1}">
  <sheetPr codeName="Ark2"/>
  <dimension ref="A1:P118"/>
  <sheetViews>
    <sheetView tabSelected="1" topLeftCell="A19" workbookViewId="0">
      <selection activeCell="C39" sqref="C39"/>
    </sheetView>
  </sheetViews>
  <sheetFormatPr baseColWidth="10" defaultRowHeight="15" x14ac:dyDescent="0.25"/>
  <cols>
    <col min="1" max="1" width="12.5703125" customWidth="1"/>
    <col min="2" max="2" width="30.28515625" bestFit="1" customWidth="1"/>
    <col min="3" max="3" width="17.42578125" bestFit="1" customWidth="1"/>
    <col min="5" max="5" width="13.140625" bestFit="1" customWidth="1"/>
    <col min="7" max="7" width="16.7109375" bestFit="1" customWidth="1"/>
    <col min="9" max="9" width="16.42578125" customWidth="1"/>
    <col min="10" max="10" width="13.28515625" customWidth="1"/>
  </cols>
  <sheetData>
    <row r="1" spans="1:16" ht="15.75" thickBot="1" x14ac:dyDescent="0.3">
      <c r="A1" s="1"/>
      <c r="E1" s="15"/>
      <c r="F1" s="15"/>
      <c r="G1" s="15"/>
      <c r="H1" s="15"/>
      <c r="I1" s="15"/>
      <c r="J1" s="15"/>
      <c r="K1" s="15"/>
      <c r="L1" s="15"/>
      <c r="M1" s="15"/>
      <c r="P1" t="s">
        <v>0</v>
      </c>
    </row>
    <row r="2" spans="1:16" ht="33.75" x14ac:dyDescent="0.25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5"/>
      <c r="P2" s="1" t="s">
        <v>2</v>
      </c>
    </row>
    <row r="3" spans="1:16" ht="15" customHeight="1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8"/>
    </row>
    <row r="4" spans="1:16" ht="15" customHeight="1" thickBot="1" x14ac:dyDescent="0.3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1"/>
    </row>
    <row r="5" spans="1:16" x14ac:dyDescent="0.25">
      <c r="N5" t="s">
        <v>3</v>
      </c>
    </row>
    <row r="6" spans="1:16" x14ac:dyDescent="0.25">
      <c r="N6" t="s">
        <v>4</v>
      </c>
    </row>
    <row r="7" spans="1:16" x14ac:dyDescent="0.25">
      <c r="A7" s="2" t="s">
        <v>5</v>
      </c>
      <c r="B7" s="2" t="s">
        <v>6</v>
      </c>
      <c r="C7" s="2" t="s">
        <v>7</v>
      </c>
      <c r="D7" s="2" t="s">
        <v>8</v>
      </c>
      <c r="E7" s="2" t="s">
        <v>9</v>
      </c>
      <c r="F7" s="2" t="s">
        <v>10</v>
      </c>
      <c r="G7" s="2" t="s">
        <v>11</v>
      </c>
      <c r="H7" s="2" t="s">
        <v>12</v>
      </c>
      <c r="I7" s="2" t="s">
        <v>13</v>
      </c>
      <c r="J7" s="2" t="s">
        <v>14</v>
      </c>
      <c r="K7" s="2" t="s">
        <v>15</v>
      </c>
      <c r="L7" s="2" t="s">
        <v>16</v>
      </c>
      <c r="M7" s="2" t="s">
        <v>17</v>
      </c>
      <c r="N7" s="2" t="s">
        <v>18</v>
      </c>
    </row>
    <row r="8" spans="1:16" x14ac:dyDescent="0.25">
      <c r="A8" s="12">
        <v>1</v>
      </c>
      <c r="B8" s="12" t="s">
        <v>19</v>
      </c>
      <c r="C8" s="12" t="s">
        <v>20</v>
      </c>
      <c r="D8" s="12">
        <v>47624</v>
      </c>
      <c r="E8" s="12" t="s">
        <v>21</v>
      </c>
      <c r="F8" s="12" t="s">
        <v>22</v>
      </c>
      <c r="G8" s="12" t="s">
        <v>23</v>
      </c>
      <c r="H8" s="13">
        <v>3</v>
      </c>
      <c r="I8" s="12">
        <v>51341</v>
      </c>
      <c r="J8" s="12" t="s">
        <v>24</v>
      </c>
      <c r="K8" s="12" t="s">
        <v>25</v>
      </c>
      <c r="L8" s="12" t="s">
        <v>26</v>
      </c>
      <c r="M8" s="12" t="str">
        <f>T(E8)</f>
        <v>Kevelaer</v>
      </c>
      <c r="N8" s="12" t="s">
        <v>94</v>
      </c>
    </row>
    <row r="9" spans="1:16" x14ac:dyDescent="0.25">
      <c r="A9" s="12">
        <v>2</v>
      </c>
      <c r="B9" s="12" t="s">
        <v>27</v>
      </c>
      <c r="C9" s="12" t="s">
        <v>28</v>
      </c>
      <c r="D9" s="12" t="s">
        <v>29</v>
      </c>
      <c r="E9" s="12" t="s">
        <v>30</v>
      </c>
      <c r="F9" s="12" t="s">
        <v>31</v>
      </c>
      <c r="G9" s="12" t="s">
        <v>32</v>
      </c>
      <c r="H9" s="13">
        <v>3</v>
      </c>
      <c r="I9" s="12">
        <v>949</v>
      </c>
      <c r="J9" s="12" t="s">
        <v>24</v>
      </c>
      <c r="K9" s="12" t="s">
        <v>25</v>
      </c>
      <c r="L9" s="12" t="s">
        <v>26</v>
      </c>
      <c r="M9" s="12" t="s">
        <v>33</v>
      </c>
      <c r="N9" s="12" t="s">
        <v>94</v>
      </c>
    </row>
    <row r="10" spans="1:16" x14ac:dyDescent="0.25">
      <c r="A10" s="12">
        <v>3</v>
      </c>
      <c r="B10" s="12" t="s">
        <v>34</v>
      </c>
      <c r="C10" s="12" t="s">
        <v>35</v>
      </c>
      <c r="D10" s="12" t="s">
        <v>36</v>
      </c>
      <c r="E10" s="12" t="s">
        <v>37</v>
      </c>
      <c r="F10" s="12" t="s">
        <v>31</v>
      </c>
      <c r="G10" s="12" t="s">
        <v>38</v>
      </c>
      <c r="H10" s="13">
        <v>3</v>
      </c>
      <c r="I10" s="12">
        <v>924</v>
      </c>
      <c r="J10" s="12" t="s">
        <v>24</v>
      </c>
      <c r="K10" s="12" t="s">
        <v>25</v>
      </c>
      <c r="L10" s="12" t="s">
        <v>26</v>
      </c>
      <c r="M10" s="12" t="str">
        <f>T(E10)</f>
        <v>Aalsmeer</v>
      </c>
      <c r="N10" s="12" t="s">
        <v>94</v>
      </c>
    </row>
    <row r="11" spans="1:16" x14ac:dyDescent="0.25">
      <c r="A11" s="12">
        <v>4</v>
      </c>
      <c r="B11" s="12" t="s">
        <v>39</v>
      </c>
      <c r="C11" s="12" t="s">
        <v>40</v>
      </c>
      <c r="D11" s="12" t="s">
        <v>41</v>
      </c>
      <c r="E11" s="12" t="s">
        <v>42</v>
      </c>
      <c r="F11" s="12" t="s">
        <v>31</v>
      </c>
      <c r="G11" s="12" t="s">
        <v>43</v>
      </c>
      <c r="H11" s="13">
        <v>3</v>
      </c>
      <c r="I11" s="12">
        <v>52152</v>
      </c>
      <c r="J11" s="12" t="s">
        <v>24</v>
      </c>
      <c r="K11" s="12" t="s">
        <v>25</v>
      </c>
      <c r="L11" s="12" t="s">
        <v>26</v>
      </c>
      <c r="M11" s="12" t="str">
        <f t="shared" ref="M11:M14" si="0">T(E11)</f>
        <v>Rijnsburg</v>
      </c>
      <c r="N11" s="12" t="s">
        <v>94</v>
      </c>
    </row>
    <row r="12" spans="1:16" x14ac:dyDescent="0.25">
      <c r="A12" s="12">
        <v>5</v>
      </c>
      <c r="B12" s="12" t="s">
        <v>44</v>
      </c>
      <c r="C12" s="12" t="s">
        <v>45</v>
      </c>
      <c r="D12" s="12">
        <v>28199</v>
      </c>
      <c r="E12" s="12" t="s">
        <v>46</v>
      </c>
      <c r="F12" s="12" t="s">
        <v>22</v>
      </c>
      <c r="G12" s="12" t="s">
        <v>47</v>
      </c>
      <c r="H12" s="13">
        <v>2</v>
      </c>
      <c r="I12" s="12">
        <v>953</v>
      </c>
      <c r="J12" s="12" t="s">
        <v>24</v>
      </c>
      <c r="K12" s="12" t="s">
        <v>25</v>
      </c>
      <c r="L12" s="12" t="s">
        <v>26</v>
      </c>
      <c r="M12" s="12" t="str">
        <f t="shared" si="0"/>
        <v>Bremen</v>
      </c>
      <c r="N12" s="12" t="s">
        <v>94</v>
      </c>
    </row>
    <row r="13" spans="1:16" x14ac:dyDescent="0.25">
      <c r="A13" s="12">
        <v>6</v>
      </c>
      <c r="B13" s="12" t="s">
        <v>48</v>
      </c>
      <c r="C13" s="12" t="s">
        <v>49</v>
      </c>
      <c r="D13" s="12" t="s">
        <v>50</v>
      </c>
      <c r="E13" s="12" t="s">
        <v>30</v>
      </c>
      <c r="F13" s="12" t="s">
        <v>31</v>
      </c>
      <c r="G13" s="12" t="s">
        <v>51</v>
      </c>
      <c r="H13" s="13">
        <v>3</v>
      </c>
      <c r="I13" s="12">
        <v>51967</v>
      </c>
      <c r="J13" s="12" t="s">
        <v>24</v>
      </c>
      <c r="K13" s="12" t="s">
        <v>25</v>
      </c>
      <c r="L13" s="12" t="s">
        <v>26</v>
      </c>
      <c r="M13" s="12" t="str">
        <f t="shared" si="0"/>
        <v>Honselersdijk</v>
      </c>
      <c r="N13" s="12" t="s">
        <v>94</v>
      </c>
    </row>
    <row r="14" spans="1:16" x14ac:dyDescent="0.25">
      <c r="A14" s="12">
        <v>7</v>
      </c>
      <c r="B14" s="12" t="s">
        <v>52</v>
      </c>
      <c r="C14" s="12" t="s">
        <v>53</v>
      </c>
      <c r="D14" s="12">
        <v>8381</v>
      </c>
      <c r="E14" s="12" t="s">
        <v>54</v>
      </c>
      <c r="F14" s="12" t="s">
        <v>55</v>
      </c>
      <c r="G14" s="12" t="s">
        <v>56</v>
      </c>
      <c r="H14" s="13">
        <v>1</v>
      </c>
      <c r="I14" s="12">
        <v>593</v>
      </c>
      <c r="J14" s="12" t="s">
        <v>57</v>
      </c>
      <c r="K14" s="12" t="s">
        <v>25</v>
      </c>
      <c r="L14" s="12" t="s">
        <v>26</v>
      </c>
      <c r="M14" s="12" t="str">
        <f t="shared" si="0"/>
        <v>Tilst</v>
      </c>
      <c r="N14" s="12" t="s">
        <v>94</v>
      </c>
    </row>
    <row r="15" spans="1:16" x14ac:dyDescent="0.25">
      <c r="A15" s="12">
        <v>8</v>
      </c>
      <c r="B15" s="12" t="s">
        <v>58</v>
      </c>
      <c r="C15" s="12" t="s">
        <v>59</v>
      </c>
      <c r="D15" s="12" t="s">
        <v>60</v>
      </c>
      <c r="E15" s="12" t="s">
        <v>61</v>
      </c>
      <c r="F15" s="12" t="s">
        <v>31</v>
      </c>
      <c r="G15" s="12" t="s">
        <v>62</v>
      </c>
      <c r="H15" s="13">
        <v>3</v>
      </c>
      <c r="I15" s="12">
        <v>51672</v>
      </c>
      <c r="J15" s="12" t="s">
        <v>24</v>
      </c>
      <c r="K15" s="12" t="s">
        <v>25</v>
      </c>
      <c r="L15" s="12" t="s">
        <v>26</v>
      </c>
      <c r="M15" s="12" t="s">
        <v>33</v>
      </c>
      <c r="N15" s="12" t="s">
        <v>94</v>
      </c>
    </row>
    <row r="16" spans="1:16" x14ac:dyDescent="0.25">
      <c r="A16" s="12">
        <v>9</v>
      </c>
      <c r="B16" s="12" t="s">
        <v>63</v>
      </c>
      <c r="C16" s="12" t="s">
        <v>64</v>
      </c>
      <c r="D16" s="12">
        <v>5132</v>
      </c>
      <c r="E16" s="12" t="s">
        <v>65</v>
      </c>
      <c r="F16" s="12" t="s">
        <v>66</v>
      </c>
      <c r="G16" s="12"/>
      <c r="H16" s="13" t="s">
        <v>67</v>
      </c>
      <c r="I16" s="12">
        <v>300</v>
      </c>
      <c r="J16" s="12"/>
      <c r="K16" s="12" t="s">
        <v>25</v>
      </c>
      <c r="L16" s="12"/>
      <c r="M16" s="12"/>
      <c r="N16" s="12" t="s">
        <v>66</v>
      </c>
    </row>
    <row r="17" spans="1:14" x14ac:dyDescent="0.25">
      <c r="A17" s="12">
        <v>18</v>
      </c>
      <c r="B17" s="12" t="s">
        <v>68</v>
      </c>
      <c r="C17" s="12" t="s">
        <v>69</v>
      </c>
      <c r="D17" s="12">
        <v>2013</v>
      </c>
      <c r="E17" s="12" t="s">
        <v>70</v>
      </c>
      <c r="F17" s="12" t="s">
        <v>66</v>
      </c>
      <c r="G17" s="12"/>
      <c r="H17" s="13" t="s">
        <v>71</v>
      </c>
      <c r="I17" s="12">
        <v>120</v>
      </c>
      <c r="J17" s="12"/>
      <c r="K17" s="12" t="s">
        <v>25</v>
      </c>
      <c r="L17" s="12"/>
      <c r="M17" s="12"/>
      <c r="N17" s="12" t="s">
        <v>66</v>
      </c>
    </row>
    <row r="18" spans="1:14" x14ac:dyDescent="0.25">
      <c r="A18" s="12">
        <v>19</v>
      </c>
      <c r="B18" s="12" t="s">
        <v>72</v>
      </c>
      <c r="C18" s="12" t="s">
        <v>73</v>
      </c>
      <c r="D18" s="12">
        <v>4313</v>
      </c>
      <c r="E18" s="12" t="s">
        <v>74</v>
      </c>
      <c r="F18" s="12" t="s">
        <v>66</v>
      </c>
      <c r="G18" s="12"/>
      <c r="H18" s="13" t="s">
        <v>75</v>
      </c>
      <c r="I18" s="12">
        <v>160</v>
      </c>
      <c r="J18" s="12"/>
      <c r="K18" s="12" t="s">
        <v>25</v>
      </c>
      <c r="L18" s="12"/>
      <c r="M18" s="12"/>
      <c r="N18" s="12" t="s">
        <v>66</v>
      </c>
    </row>
    <row r="19" spans="1:14" x14ac:dyDescent="0.25">
      <c r="A19" s="12">
        <v>20</v>
      </c>
      <c r="B19" s="12" t="s">
        <v>76</v>
      </c>
      <c r="C19" s="12" t="s">
        <v>77</v>
      </c>
      <c r="D19" s="12">
        <v>3160</v>
      </c>
      <c r="E19" s="12" t="s">
        <v>78</v>
      </c>
      <c r="F19" s="12" t="s">
        <v>66</v>
      </c>
      <c r="G19" s="12"/>
      <c r="H19" s="13" t="s">
        <v>71</v>
      </c>
      <c r="I19" s="12">
        <v>140</v>
      </c>
      <c r="J19" s="12"/>
      <c r="K19" s="12" t="s">
        <v>25</v>
      </c>
      <c r="L19" s="12"/>
      <c r="M19" s="12"/>
      <c r="N19" s="12" t="s">
        <v>66</v>
      </c>
    </row>
    <row r="20" spans="1:14" x14ac:dyDescent="0.25">
      <c r="A20" s="12">
        <v>21</v>
      </c>
      <c r="B20" s="12" t="s">
        <v>79</v>
      </c>
      <c r="C20" s="12" t="s">
        <v>80</v>
      </c>
      <c r="D20" s="12">
        <v>7075</v>
      </c>
      <c r="E20" s="12" t="s">
        <v>81</v>
      </c>
      <c r="F20" s="12" t="s">
        <v>66</v>
      </c>
      <c r="G20" s="12"/>
      <c r="H20" s="13" t="s">
        <v>82</v>
      </c>
      <c r="I20" s="12">
        <v>150</v>
      </c>
      <c r="J20" s="12"/>
      <c r="K20" s="12" t="s">
        <v>25</v>
      </c>
      <c r="L20" s="12"/>
      <c r="M20" s="12"/>
      <c r="N20" s="12" t="s">
        <v>66</v>
      </c>
    </row>
    <row r="21" spans="1:14" x14ac:dyDescent="0.25">
      <c r="A21" s="12">
        <v>22</v>
      </c>
      <c r="B21" s="12" t="s">
        <v>83</v>
      </c>
      <c r="C21" s="12" t="s">
        <v>84</v>
      </c>
      <c r="D21" s="12">
        <v>6419</v>
      </c>
      <c r="E21" s="12" t="s">
        <v>85</v>
      </c>
      <c r="F21" s="12" t="s">
        <v>66</v>
      </c>
      <c r="G21" s="12"/>
      <c r="H21" s="13" t="s">
        <v>86</v>
      </c>
      <c r="I21" s="12">
        <v>170</v>
      </c>
      <c r="J21" s="12"/>
      <c r="K21" s="12" t="s">
        <v>25</v>
      </c>
      <c r="L21" s="12"/>
      <c r="M21" s="12"/>
      <c r="N21" s="12" t="s">
        <v>66</v>
      </c>
    </row>
    <row r="22" spans="1:14" x14ac:dyDescent="0.25">
      <c r="A22" s="12">
        <v>23</v>
      </c>
      <c r="B22" s="12" t="s">
        <v>87</v>
      </c>
      <c r="C22" s="12"/>
      <c r="D22" s="12"/>
      <c r="E22" s="12" t="s">
        <v>88</v>
      </c>
      <c r="F22" s="12" t="s">
        <v>66</v>
      </c>
      <c r="G22" s="12"/>
      <c r="H22" s="13" t="s">
        <v>89</v>
      </c>
      <c r="I22" s="12">
        <v>180</v>
      </c>
      <c r="J22" s="12"/>
      <c r="K22" s="12" t="s">
        <v>25</v>
      </c>
      <c r="L22" s="12"/>
      <c r="M22" s="12"/>
      <c r="N22" s="12" t="s">
        <v>66</v>
      </c>
    </row>
    <row r="23" spans="1:14" x14ac:dyDescent="0.25">
      <c r="A23" s="12">
        <v>24</v>
      </c>
      <c r="B23" s="12" t="s">
        <v>90</v>
      </c>
      <c r="C23" s="12"/>
      <c r="D23" s="12"/>
      <c r="E23" s="12"/>
      <c r="F23" s="12" t="s">
        <v>66</v>
      </c>
      <c r="G23" s="12"/>
      <c r="H23" s="13" t="s">
        <v>91</v>
      </c>
      <c r="I23" s="12">
        <v>190</v>
      </c>
      <c r="J23" s="12"/>
      <c r="K23" s="12" t="s">
        <v>25</v>
      </c>
      <c r="L23" s="12"/>
      <c r="M23" s="12"/>
      <c r="N23" s="12" t="s">
        <v>66</v>
      </c>
    </row>
    <row r="24" spans="1:14" x14ac:dyDescent="0.25">
      <c r="A24" s="12">
        <v>25</v>
      </c>
      <c r="B24" s="12" t="s">
        <v>92</v>
      </c>
      <c r="C24" s="12"/>
      <c r="D24" s="12"/>
      <c r="E24" s="12"/>
      <c r="F24" s="12" t="s">
        <v>66</v>
      </c>
      <c r="G24" s="12"/>
      <c r="H24" s="13" t="s">
        <v>93</v>
      </c>
      <c r="I24" s="12">
        <v>999999</v>
      </c>
      <c r="J24" s="12"/>
      <c r="K24" s="12" t="s">
        <v>25</v>
      </c>
      <c r="L24" s="12"/>
      <c r="M24" s="12"/>
      <c r="N24" s="12" t="s">
        <v>66</v>
      </c>
    </row>
    <row r="25" spans="1:14" x14ac:dyDescent="0.25">
      <c r="A25" s="12">
        <v>26</v>
      </c>
      <c r="B25" s="14" t="s">
        <v>95</v>
      </c>
      <c r="C25" s="14" t="s">
        <v>109</v>
      </c>
      <c r="D25" s="14">
        <v>8840</v>
      </c>
      <c r="E25" s="14" t="s">
        <v>124</v>
      </c>
      <c r="F25" s="14" t="s">
        <v>132</v>
      </c>
      <c r="G25" s="14" t="s">
        <v>141</v>
      </c>
      <c r="H25" s="14"/>
      <c r="I25" s="14">
        <v>51573</v>
      </c>
      <c r="J25" s="14" t="s">
        <v>24</v>
      </c>
      <c r="K25" s="14" t="s">
        <v>25</v>
      </c>
      <c r="L25" s="14" t="s">
        <v>26</v>
      </c>
      <c r="M25" s="14" t="s">
        <v>37</v>
      </c>
      <c r="N25" s="12"/>
    </row>
    <row r="26" spans="1:14" x14ac:dyDescent="0.25">
      <c r="A26" s="12">
        <v>27</v>
      </c>
      <c r="B26" s="14" t="s">
        <v>96</v>
      </c>
      <c r="C26" s="14" t="s">
        <v>110</v>
      </c>
      <c r="D26" s="14">
        <v>1812601</v>
      </c>
      <c r="E26" s="14" t="s">
        <v>110</v>
      </c>
      <c r="F26" s="14" t="s">
        <v>133</v>
      </c>
      <c r="G26" s="14" t="s">
        <v>142</v>
      </c>
      <c r="H26" s="14"/>
      <c r="I26" s="14">
        <v>51488</v>
      </c>
      <c r="J26" s="14" t="s">
        <v>24</v>
      </c>
      <c r="K26" s="14" t="s">
        <v>25</v>
      </c>
      <c r="L26" s="14" t="s">
        <v>26</v>
      </c>
      <c r="M26" s="14" t="s">
        <v>37</v>
      </c>
      <c r="N26" s="12"/>
    </row>
    <row r="27" spans="1:14" x14ac:dyDescent="0.25">
      <c r="A27" s="12">
        <v>28</v>
      </c>
      <c r="B27" s="14" t="s">
        <v>97</v>
      </c>
      <c r="C27" s="14" t="s">
        <v>111</v>
      </c>
      <c r="D27" s="14" t="s">
        <v>119</v>
      </c>
      <c r="E27" s="14" t="s">
        <v>125</v>
      </c>
      <c r="F27" s="14" t="s">
        <v>134</v>
      </c>
      <c r="G27" s="14" t="s">
        <v>143</v>
      </c>
      <c r="H27" s="14"/>
      <c r="I27" s="14">
        <v>912</v>
      </c>
      <c r="J27" s="14" t="s">
        <v>24</v>
      </c>
      <c r="K27" s="14" t="s">
        <v>25</v>
      </c>
      <c r="L27" s="14" t="s">
        <v>26</v>
      </c>
      <c r="M27" s="14" t="s">
        <v>37</v>
      </c>
      <c r="N27" s="12"/>
    </row>
    <row r="28" spans="1:14" x14ac:dyDescent="0.25">
      <c r="A28" s="12">
        <v>29</v>
      </c>
      <c r="B28" s="14" t="s">
        <v>98</v>
      </c>
      <c r="C28" s="14" t="s">
        <v>112</v>
      </c>
      <c r="D28" s="14" t="s">
        <v>120</v>
      </c>
      <c r="E28" s="14" t="s">
        <v>126</v>
      </c>
      <c r="F28" s="14" t="s">
        <v>135</v>
      </c>
      <c r="G28" s="14"/>
      <c r="H28" s="14"/>
      <c r="I28" s="14">
        <v>51643</v>
      </c>
      <c r="J28" s="14" t="s">
        <v>24</v>
      </c>
      <c r="K28" s="14" t="s">
        <v>25</v>
      </c>
      <c r="L28" s="14" t="s">
        <v>26</v>
      </c>
      <c r="M28" s="14" t="s">
        <v>37</v>
      </c>
      <c r="N28" s="12"/>
    </row>
    <row r="29" spans="1:14" x14ac:dyDescent="0.25">
      <c r="A29" s="12">
        <v>30</v>
      </c>
      <c r="B29" s="14" t="s">
        <v>99</v>
      </c>
      <c r="C29" s="14" t="s">
        <v>113</v>
      </c>
      <c r="D29" s="14" t="s">
        <v>121</v>
      </c>
      <c r="E29" s="14" t="s">
        <v>127</v>
      </c>
      <c r="F29" s="14" t="s">
        <v>134</v>
      </c>
      <c r="G29" s="14" t="s">
        <v>144</v>
      </c>
      <c r="H29" s="14"/>
      <c r="I29" s="14">
        <v>51661</v>
      </c>
      <c r="J29" s="14" t="s">
        <v>24</v>
      </c>
      <c r="K29" s="14" t="s">
        <v>25</v>
      </c>
      <c r="L29" s="14" t="s">
        <v>26</v>
      </c>
      <c r="M29" s="14" t="s">
        <v>37</v>
      </c>
      <c r="N29" s="12"/>
    </row>
    <row r="30" spans="1:14" x14ac:dyDescent="0.25">
      <c r="A30" s="12">
        <v>31</v>
      </c>
      <c r="B30" s="14" t="s">
        <v>100</v>
      </c>
      <c r="C30" s="14" t="s">
        <v>114</v>
      </c>
      <c r="D30" s="14">
        <v>5250</v>
      </c>
      <c r="E30" s="14" t="s">
        <v>128</v>
      </c>
      <c r="F30" s="14" t="s">
        <v>136</v>
      </c>
      <c r="G30" s="14" t="s">
        <v>145</v>
      </c>
      <c r="H30" s="14"/>
      <c r="I30" s="14">
        <v>954</v>
      </c>
      <c r="J30" s="14" t="s">
        <v>57</v>
      </c>
      <c r="K30" s="14" t="s">
        <v>25</v>
      </c>
      <c r="L30" s="14" t="s">
        <v>26</v>
      </c>
      <c r="M30" s="14" t="s">
        <v>37</v>
      </c>
      <c r="N30" s="12"/>
    </row>
    <row r="31" spans="1:14" x14ac:dyDescent="0.25">
      <c r="A31" s="12">
        <v>32</v>
      </c>
      <c r="B31" s="14" t="s">
        <v>101</v>
      </c>
      <c r="C31" s="14" t="s">
        <v>115</v>
      </c>
      <c r="D31" s="14">
        <v>5029700</v>
      </c>
      <c r="E31" s="14" t="s">
        <v>129</v>
      </c>
      <c r="F31" s="14" t="s">
        <v>133</v>
      </c>
      <c r="G31" s="14" t="s">
        <v>146</v>
      </c>
      <c r="H31" s="14"/>
      <c r="I31" s="14">
        <v>916</v>
      </c>
      <c r="J31" s="14" t="s">
        <v>24</v>
      </c>
      <c r="K31" s="14" t="s">
        <v>25</v>
      </c>
      <c r="L31" s="14" t="s">
        <v>26</v>
      </c>
      <c r="M31" s="14" t="s">
        <v>37</v>
      </c>
      <c r="N31" s="12"/>
    </row>
    <row r="32" spans="1:14" x14ac:dyDescent="0.25">
      <c r="A32" s="12">
        <v>33</v>
      </c>
      <c r="B32" s="14" t="s">
        <v>102</v>
      </c>
      <c r="C32" s="14" t="s">
        <v>115</v>
      </c>
      <c r="D32" s="14">
        <v>5029700</v>
      </c>
      <c r="E32" s="14" t="s">
        <v>129</v>
      </c>
      <c r="F32" s="14" t="s">
        <v>137</v>
      </c>
      <c r="G32" s="14" t="s">
        <v>147</v>
      </c>
      <c r="H32" s="14"/>
      <c r="I32" s="14">
        <v>916</v>
      </c>
      <c r="J32" s="14" t="s">
        <v>24</v>
      </c>
      <c r="K32" s="14" t="s">
        <v>25</v>
      </c>
      <c r="L32" s="14" t="s">
        <v>26</v>
      </c>
      <c r="M32" s="14" t="s">
        <v>37</v>
      </c>
      <c r="N32" s="12"/>
    </row>
    <row r="33" spans="1:14" x14ac:dyDescent="0.25">
      <c r="A33" s="12">
        <v>34</v>
      </c>
      <c r="B33" s="14" t="s">
        <v>103</v>
      </c>
      <c r="C33" s="14" t="s">
        <v>116</v>
      </c>
      <c r="D33" s="14">
        <v>8751</v>
      </c>
      <c r="E33" s="14" t="s">
        <v>130</v>
      </c>
      <c r="F33" s="14" t="s">
        <v>136</v>
      </c>
      <c r="G33" s="14"/>
      <c r="H33" s="14"/>
      <c r="I33" s="14">
        <v>51869</v>
      </c>
      <c r="J33" s="14"/>
      <c r="K33" s="14" t="s">
        <v>25</v>
      </c>
      <c r="L33" s="14" t="s">
        <v>26</v>
      </c>
      <c r="M33" s="14" t="s">
        <v>37</v>
      </c>
      <c r="N33" s="12"/>
    </row>
    <row r="34" spans="1:14" x14ac:dyDescent="0.25">
      <c r="A34" s="12">
        <v>35</v>
      </c>
      <c r="B34" s="14" t="s">
        <v>104</v>
      </c>
      <c r="C34" s="14" t="s">
        <v>116</v>
      </c>
      <c r="D34" s="14">
        <v>8752</v>
      </c>
      <c r="E34" s="14" t="s">
        <v>130</v>
      </c>
      <c r="F34" s="14" t="s">
        <v>138</v>
      </c>
      <c r="G34" s="14"/>
      <c r="H34" s="14"/>
      <c r="I34" s="14">
        <v>51869</v>
      </c>
      <c r="J34" s="14"/>
      <c r="K34" s="14" t="s">
        <v>25</v>
      </c>
      <c r="L34" s="14" t="s">
        <v>26</v>
      </c>
      <c r="M34" s="14" t="s">
        <v>37</v>
      </c>
      <c r="N34" s="12"/>
    </row>
    <row r="35" spans="1:14" x14ac:dyDescent="0.25">
      <c r="A35" s="12">
        <v>36</v>
      </c>
      <c r="B35" s="14" t="s">
        <v>105</v>
      </c>
      <c r="C35" s="14" t="s">
        <v>116</v>
      </c>
      <c r="D35" s="14">
        <v>8753</v>
      </c>
      <c r="E35" s="14" t="s">
        <v>130</v>
      </c>
      <c r="F35" s="14" t="s">
        <v>139</v>
      </c>
      <c r="G35" s="14"/>
      <c r="H35" s="14"/>
      <c r="I35" s="14">
        <v>51869</v>
      </c>
      <c r="J35" s="14"/>
      <c r="K35" s="14" t="s">
        <v>25</v>
      </c>
      <c r="L35" s="14" t="s">
        <v>26</v>
      </c>
      <c r="M35" s="14" t="s">
        <v>37</v>
      </c>
      <c r="N35" s="12"/>
    </row>
    <row r="36" spans="1:14" x14ac:dyDescent="0.25">
      <c r="A36" s="12">
        <v>37</v>
      </c>
      <c r="B36" s="14" t="s">
        <v>106</v>
      </c>
      <c r="C36" s="14" t="s">
        <v>116</v>
      </c>
      <c r="D36" s="14">
        <v>8753</v>
      </c>
      <c r="E36" s="14" t="s">
        <v>130</v>
      </c>
      <c r="F36" s="14" t="s">
        <v>140</v>
      </c>
      <c r="G36" s="14"/>
      <c r="H36" s="14"/>
      <c r="I36" s="14">
        <v>51869</v>
      </c>
      <c r="J36" s="14"/>
      <c r="K36" s="14" t="s">
        <v>25</v>
      </c>
      <c r="L36" s="14" t="s">
        <v>26</v>
      </c>
      <c r="M36" s="14" t="s">
        <v>37</v>
      </c>
      <c r="N36" s="12"/>
    </row>
    <row r="37" spans="1:14" x14ac:dyDescent="0.25">
      <c r="A37" s="12">
        <v>38</v>
      </c>
      <c r="B37" s="14" t="s">
        <v>107</v>
      </c>
      <c r="C37" s="14" t="s">
        <v>117</v>
      </c>
      <c r="D37" s="14" t="s">
        <v>122</v>
      </c>
      <c r="E37" s="14" t="s">
        <v>131</v>
      </c>
      <c r="F37" s="14" t="s">
        <v>134</v>
      </c>
      <c r="G37" s="14" t="s">
        <v>148</v>
      </c>
      <c r="H37" s="14"/>
      <c r="I37" s="14">
        <v>939</v>
      </c>
      <c r="J37" s="14" t="s">
        <v>24</v>
      </c>
      <c r="K37" s="14" t="s">
        <v>25</v>
      </c>
      <c r="L37" s="14" t="s">
        <v>26</v>
      </c>
      <c r="M37" s="14" t="s">
        <v>37</v>
      </c>
      <c r="N37" s="12"/>
    </row>
    <row r="38" spans="1:14" x14ac:dyDescent="0.25">
      <c r="A38" s="12">
        <v>39</v>
      </c>
      <c r="B38" s="14" t="s">
        <v>108</v>
      </c>
      <c r="C38" s="14" t="s">
        <v>118</v>
      </c>
      <c r="D38" s="14" t="s">
        <v>123</v>
      </c>
      <c r="E38" s="14" t="s">
        <v>131</v>
      </c>
      <c r="F38" s="14" t="s">
        <v>137</v>
      </c>
      <c r="G38" s="14" t="s">
        <v>149</v>
      </c>
      <c r="H38" s="14"/>
      <c r="I38" s="14">
        <v>940</v>
      </c>
      <c r="J38" s="14" t="s">
        <v>24</v>
      </c>
      <c r="K38" s="14" t="s">
        <v>25</v>
      </c>
      <c r="L38" s="14" t="s">
        <v>26</v>
      </c>
      <c r="M38" s="14" t="s">
        <v>37</v>
      </c>
      <c r="N38" s="12"/>
    </row>
    <row r="39" spans="1:14" x14ac:dyDescent="0.25">
      <c r="A39" s="12">
        <v>40</v>
      </c>
      <c r="B39" s="12" t="s">
        <v>150</v>
      </c>
      <c r="C39" s="12"/>
      <c r="D39" s="12"/>
      <c r="E39" s="12"/>
      <c r="F39" s="12"/>
      <c r="G39" s="12" t="s">
        <v>151</v>
      </c>
      <c r="H39" s="12"/>
      <c r="I39" s="12"/>
      <c r="J39" s="12" t="s">
        <v>24</v>
      </c>
      <c r="K39" s="12"/>
      <c r="L39" s="12" t="s">
        <v>152</v>
      </c>
      <c r="M39" s="12" t="s">
        <v>37</v>
      </c>
      <c r="N39" s="12"/>
    </row>
    <row r="40" spans="1:14" x14ac:dyDescent="0.25">
      <c r="A40" s="12">
        <v>41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 x14ac:dyDescent="0.25">
      <c r="A41" s="12">
        <v>42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1:14" x14ac:dyDescent="0.25">
      <c r="A42" s="12">
        <v>43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1:14" x14ac:dyDescent="0.25">
      <c r="A43" s="12">
        <v>44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 x14ac:dyDescent="0.25">
      <c r="A44" s="12">
        <v>45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 x14ac:dyDescent="0.25">
      <c r="A45" s="12">
        <v>46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 x14ac:dyDescent="0.25">
      <c r="A46" s="12">
        <v>47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x14ac:dyDescent="0.25">
      <c r="A47" s="12">
        <v>48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x14ac:dyDescent="0.25">
      <c r="A48" s="12">
        <v>49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x14ac:dyDescent="0.25">
      <c r="A49" s="12">
        <v>50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 x14ac:dyDescent="0.25">
      <c r="A50" s="12">
        <v>51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</row>
    <row r="51" spans="1:14" x14ac:dyDescent="0.25">
      <c r="A51" s="12">
        <v>52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</row>
    <row r="52" spans="1:14" x14ac:dyDescent="0.25">
      <c r="A52" s="12">
        <v>53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14" x14ac:dyDescent="0.25">
      <c r="A53" s="12">
        <v>54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14" x14ac:dyDescent="0.25">
      <c r="A54" s="12">
        <v>55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 x14ac:dyDescent="0.25">
      <c r="A55" s="12">
        <v>56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</row>
    <row r="56" spans="1:14" x14ac:dyDescent="0.25">
      <c r="A56" s="12">
        <v>57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</row>
    <row r="57" spans="1:14" x14ac:dyDescent="0.25">
      <c r="A57" s="12">
        <v>58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</row>
    <row r="58" spans="1:14" x14ac:dyDescent="0.25">
      <c r="A58" s="12">
        <v>59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</row>
    <row r="59" spans="1:14" x14ac:dyDescent="0.25">
      <c r="A59" s="12">
        <v>60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</row>
    <row r="60" spans="1:14" x14ac:dyDescent="0.25">
      <c r="A60" s="12">
        <v>61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</row>
    <row r="61" spans="1:14" x14ac:dyDescent="0.25">
      <c r="A61" s="12">
        <v>62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</row>
    <row r="62" spans="1:14" x14ac:dyDescent="0.25">
      <c r="A62" s="12">
        <v>63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</row>
    <row r="63" spans="1:14" x14ac:dyDescent="0.25">
      <c r="A63" s="12">
        <v>64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</row>
    <row r="64" spans="1:14" x14ac:dyDescent="0.25">
      <c r="A64" s="12">
        <v>65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</row>
    <row r="65" spans="1:14" x14ac:dyDescent="0.25">
      <c r="A65" s="12">
        <v>66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</row>
    <row r="66" spans="1:14" x14ac:dyDescent="0.25">
      <c r="A66" s="12">
        <v>67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</row>
    <row r="67" spans="1:14" x14ac:dyDescent="0.25">
      <c r="A67" s="12">
        <v>68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</row>
    <row r="68" spans="1:14" x14ac:dyDescent="0.25">
      <c r="A68" s="12">
        <v>69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</row>
    <row r="69" spans="1:14" x14ac:dyDescent="0.25">
      <c r="A69" s="12">
        <v>70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 x14ac:dyDescent="0.25">
      <c r="A70" s="12">
        <v>71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 x14ac:dyDescent="0.25">
      <c r="A71" s="12">
        <v>72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 x14ac:dyDescent="0.25">
      <c r="A72" s="12">
        <v>73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 x14ac:dyDescent="0.25">
      <c r="A73" s="12">
        <v>74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4" spans="1:14" x14ac:dyDescent="0.25">
      <c r="A74" s="12">
        <v>75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</row>
    <row r="75" spans="1:14" x14ac:dyDescent="0.25">
      <c r="A75" s="12">
        <v>76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</row>
    <row r="76" spans="1:14" x14ac:dyDescent="0.25">
      <c r="A76" s="12">
        <v>77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</row>
    <row r="77" spans="1:14" x14ac:dyDescent="0.25">
      <c r="A77" s="12">
        <v>78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</row>
    <row r="78" spans="1:14" x14ac:dyDescent="0.25">
      <c r="A78" s="12">
        <v>79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</row>
    <row r="79" spans="1:14" x14ac:dyDescent="0.25">
      <c r="A79" s="12">
        <v>80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</row>
    <row r="80" spans="1:14" x14ac:dyDescent="0.25">
      <c r="A80" s="12">
        <v>81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</row>
    <row r="81" spans="1:14" x14ac:dyDescent="0.25">
      <c r="A81" s="12">
        <v>82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</row>
    <row r="82" spans="1:14" x14ac:dyDescent="0.25">
      <c r="A82" s="12">
        <v>83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</row>
    <row r="83" spans="1:14" x14ac:dyDescent="0.25">
      <c r="A83" s="12">
        <v>84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4" x14ac:dyDescent="0.25">
      <c r="A84" s="12">
        <v>85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4" x14ac:dyDescent="0.25">
      <c r="A85" s="12">
        <v>86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</row>
    <row r="86" spans="1:14" x14ac:dyDescent="0.25">
      <c r="A86" s="12">
        <v>87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</row>
    <row r="87" spans="1:14" x14ac:dyDescent="0.25">
      <c r="A87" s="12">
        <v>88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88" spans="1:14" x14ac:dyDescent="0.25">
      <c r="A88" s="12">
        <v>89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</row>
    <row r="89" spans="1:14" x14ac:dyDescent="0.25">
      <c r="A89" s="12">
        <v>90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</row>
    <row r="90" spans="1:14" x14ac:dyDescent="0.25">
      <c r="A90" s="12">
        <v>91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4" x14ac:dyDescent="0.25">
      <c r="A91" s="12">
        <v>92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</row>
    <row r="92" spans="1:14" x14ac:dyDescent="0.25">
      <c r="A92" s="12">
        <v>93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</row>
    <row r="93" spans="1:14" x14ac:dyDescent="0.25">
      <c r="A93" s="12">
        <v>94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</row>
    <row r="94" spans="1:14" x14ac:dyDescent="0.25">
      <c r="A94" s="12">
        <v>95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</row>
    <row r="95" spans="1:14" x14ac:dyDescent="0.25">
      <c r="A95" s="12">
        <v>96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</row>
    <row r="96" spans="1:14" x14ac:dyDescent="0.25">
      <c r="A96" s="12">
        <v>97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25">
      <c r="A97" s="12">
        <v>98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4" x14ac:dyDescent="0.25">
      <c r="A98" s="12">
        <v>99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</row>
    <row r="99" spans="1:14" x14ac:dyDescent="0.25">
      <c r="A99" s="12">
        <v>100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</row>
    <row r="100" spans="1:14" x14ac:dyDescent="0.25">
      <c r="A100" s="12">
        <v>101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</row>
    <row r="101" spans="1:14" x14ac:dyDescent="0.25">
      <c r="A101" s="12">
        <v>102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</row>
    <row r="102" spans="1:14" x14ac:dyDescent="0.25">
      <c r="A102" s="12">
        <v>103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</row>
    <row r="103" spans="1:14" x14ac:dyDescent="0.25">
      <c r="A103" s="12">
        <v>104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4" x14ac:dyDescent="0.25">
      <c r="A104" s="12">
        <v>105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5" spans="1:14" x14ac:dyDescent="0.25">
      <c r="A105" s="12">
        <v>106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</row>
    <row r="106" spans="1:14" x14ac:dyDescent="0.25">
      <c r="A106" s="12">
        <v>107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</row>
    <row r="107" spans="1:14" x14ac:dyDescent="0.25">
      <c r="A107" s="12">
        <v>108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</row>
    <row r="108" spans="1:14" x14ac:dyDescent="0.25">
      <c r="A108" s="12">
        <v>109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</row>
    <row r="109" spans="1:14" x14ac:dyDescent="0.25">
      <c r="A109" s="12">
        <v>110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</row>
    <row r="110" spans="1:14" x14ac:dyDescent="0.25">
      <c r="A110" s="12">
        <v>111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</row>
    <row r="111" spans="1:14" x14ac:dyDescent="0.25">
      <c r="A111" s="12">
        <v>112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</row>
    <row r="112" spans="1:14" x14ac:dyDescent="0.25">
      <c r="A112" s="12">
        <v>113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</row>
    <row r="113" spans="1:14" x14ac:dyDescent="0.25">
      <c r="A113" s="12">
        <v>114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</row>
    <row r="114" spans="1:14" x14ac:dyDescent="0.25">
      <c r="A114" s="12">
        <v>115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</row>
    <row r="115" spans="1:14" x14ac:dyDescent="0.25">
      <c r="A115" s="12">
        <v>116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4" x14ac:dyDescent="0.25">
      <c r="A116" s="12">
        <v>117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4" x14ac:dyDescent="0.25">
      <c r="A117" s="12">
        <v>118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4" x14ac:dyDescent="0.25">
      <c r="A118" s="12">
        <v>119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</row>
  </sheetData>
  <mergeCells count="1">
    <mergeCell ref="E1:M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Navngitte områder</vt:lpstr>
      </vt:variant>
      <vt:variant>
        <vt:i4>1</vt:i4>
      </vt:variant>
    </vt:vector>
  </HeadingPairs>
  <TitlesOfParts>
    <vt:vector size="2" baseType="lpstr">
      <vt:lpstr>Firmadata</vt:lpstr>
      <vt:lpstr>TabellFirmadata</vt:lpstr>
    </vt:vector>
  </TitlesOfParts>
  <Company>AS BLOMSTERRINGEN ENGROS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Henrik Røsnes-Andersen</dc:creator>
  <cp:lastModifiedBy>Henrik Røsnes-Andersen</cp:lastModifiedBy>
  <dcterms:created xsi:type="dcterms:W3CDTF">2021-05-24T10:23:05Z</dcterms:created>
  <dcterms:modified xsi:type="dcterms:W3CDTF">2023-06-06T07:58:52Z</dcterms:modified>
</cp:coreProperties>
</file>